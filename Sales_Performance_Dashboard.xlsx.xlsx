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3.xml"/>
  <Override ContentType="application/vnd.openxmlformats-officedocument.spreadsheetml.chartsheet+xml" PartName="/xl/chartsheets/sheet4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Dashboard" sheetId="2" r:id="rId6"/>
    <sheet state="visible" name="weekly sales Trend" sheetId="3" r:id="rId7"/>
    <sheet state="visible" name="sales by Product" sheetId="4" r:id="rId8"/>
    <sheet state="visible" name="sales by Region" sheetId="5" r:id="rId9"/>
    <sheet state="visible" name="sales by Category" sheetId="6" r:id="rId10"/>
  </sheets>
  <definedNames/>
  <calcPr/>
</workbook>
</file>

<file path=xl/sharedStrings.xml><?xml version="1.0" encoding="utf-8"?>
<sst xmlns="http://schemas.openxmlformats.org/spreadsheetml/2006/main" count="259" uniqueCount="63">
  <si>
    <t>OrderID</t>
  </si>
  <si>
    <t>Date</t>
  </si>
  <si>
    <t>CustomerName</t>
  </si>
  <si>
    <t>Product</t>
  </si>
  <si>
    <t>Category</t>
  </si>
  <si>
    <t>Region</t>
  </si>
  <si>
    <t>Quantity</t>
  </si>
  <si>
    <t>Price</t>
  </si>
  <si>
    <t>TotalSales</t>
  </si>
  <si>
    <t>Alice</t>
  </si>
  <si>
    <t>Laptop</t>
  </si>
  <si>
    <t>Electronics</t>
  </si>
  <si>
    <t>North</t>
  </si>
  <si>
    <t>Bob</t>
  </si>
  <si>
    <t>Shirt</t>
  </si>
  <si>
    <t>Clothing</t>
  </si>
  <si>
    <t>West</t>
  </si>
  <si>
    <t>Charlie</t>
  </si>
  <si>
    <t>East</t>
  </si>
  <si>
    <t>Shoes</t>
  </si>
  <si>
    <t>David</t>
  </si>
  <si>
    <t>Headphones</t>
  </si>
  <si>
    <t>South</t>
  </si>
  <si>
    <t>Frank</t>
  </si>
  <si>
    <t>Jeans</t>
  </si>
  <si>
    <t>Grace</t>
  </si>
  <si>
    <t>TV</t>
  </si>
  <si>
    <t>Henry</t>
  </si>
  <si>
    <t>Socks</t>
  </si>
  <si>
    <t>Ivy</t>
  </si>
  <si>
    <t>Backpack</t>
  </si>
  <si>
    <t>Home &amp; Kitchen</t>
  </si>
  <si>
    <t>Jack</t>
  </si>
  <si>
    <t>Blender</t>
  </si>
  <si>
    <t>Kevin</t>
  </si>
  <si>
    <t>Leo</t>
  </si>
  <si>
    <t>Mia</t>
  </si>
  <si>
    <t>Noah</t>
  </si>
  <si>
    <t>Olivia</t>
  </si>
  <si>
    <t>Peter</t>
  </si>
  <si>
    <t>Quinn</t>
  </si>
  <si>
    <t>Rachel</t>
  </si>
  <si>
    <t>Tom</t>
  </si>
  <si>
    <t>Ursula</t>
  </si>
  <si>
    <t>Victor</t>
  </si>
  <si>
    <t>Wendy</t>
  </si>
  <si>
    <t>Xavier</t>
  </si>
  <si>
    <t>Yara</t>
  </si>
  <si>
    <t>Zane</t>
  </si>
  <si>
    <t>Eva</t>
  </si>
  <si>
    <t>Sam</t>
  </si>
  <si>
    <t>Sales Performance Dashboard</t>
  </si>
  <si>
    <t>Data range: Jan 01, 2026 – Feb 24, 2026   |   54 orders across 26 customers</t>
  </si>
  <si>
    <t>TOTAL REVENUE</t>
  </si>
  <si>
    <t>TOTAL ORDERS</t>
  </si>
  <si>
    <t>UNITS SOLD</t>
  </si>
  <si>
    <t>AVG ORDER VALUE</t>
  </si>
  <si>
    <t>Sales by Category</t>
  </si>
  <si>
    <t>Sales by Region</t>
  </si>
  <si>
    <t>Sales by Product</t>
  </si>
  <si>
    <t>Total Sales</t>
  </si>
  <si>
    <t>Weekly Sales Trend</t>
  </si>
  <si>
    <t>Week Of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</si>
</sst>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"/>
    <numFmt numFmtId="165" formatCode="\$#,##0.00"/>
    <numFmt numFmtId="166" formatCode="\$#,##0"/>
    <numFmt numFmtId="167" formatCode="mmm\ d"/>
  </numFmts>
  <fonts count="11">
    <font>
      <sz val="11.0"/>
      <color theme="1"/>
      <name val="Calibri"/>
      <scheme val="minor"/>
    </font>
    <font>
      <b/>
      <sz val="11.0"/>
      <color theme="1"/>
      <name val="Arial"/>
    </font>
    <font>
      <color theme="1"/>
      <name val="Calibri"/>
      <scheme val="minor"/>
    </font>
    <font>
      <sz val="11.0"/>
      <color theme="1"/>
      <name val="Calibri"/>
    </font>
    <font>
      <b/>
      <sz val="18.0"/>
      <color rgb="FF1F2A44"/>
      <name val="Arial"/>
    </font>
    <font>
      <i/>
      <sz val="10.0"/>
      <color rgb="FF666666"/>
      <name val="Arial"/>
    </font>
    <font>
      <b/>
      <sz val="10.0"/>
      <color rgb="FFFFFFFF"/>
      <name val="Arial"/>
    </font>
    <font/>
    <font>
      <b/>
      <sz val="20.0"/>
      <color rgb="FFFFFFFF"/>
      <name val="Arial"/>
    </font>
    <font>
      <b/>
      <sz val="12.0"/>
      <color rgb="FF1F2A44"/>
      <name val="Arial"/>
    </font>
    <font>
      <b/>
      <sz val="11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8064A2"/>
        <bgColor rgb="FF8064A2"/>
      </patternFill>
    </fill>
    <fill>
      <patternFill patternType="solid">
        <fgColor rgb="FF1F2A44"/>
        <bgColor rgb="FF1F2A44"/>
      </patternFill>
    </fill>
  </fills>
  <borders count="7">
    <border/>
    <border>
      <left/>
      <top/>
    </border>
    <border>
      <right/>
      <top/>
    </border>
    <border>
      <left/>
      <bottom/>
    </border>
    <border>
      <right/>
      <bottom/>
    </border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" xfId="0" applyAlignment="1" applyFont="1" applyNumberFormat="1">
      <alignment shrinkToFit="0" vertical="bottom" wrapText="0"/>
    </xf>
    <xf borderId="0" fillId="0" fontId="3" numFmtId="165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2" fontId="6" numFmtId="0" xfId="0" applyAlignment="1" applyBorder="1" applyFill="1" applyFont="1">
      <alignment horizontal="center" shrinkToFit="0" vertical="top" wrapText="1"/>
    </xf>
    <xf borderId="2" fillId="0" fontId="7" numFmtId="0" xfId="0" applyBorder="1" applyFont="1"/>
    <xf borderId="1" fillId="3" fontId="6" numFmtId="0" xfId="0" applyAlignment="1" applyBorder="1" applyFill="1" applyFont="1">
      <alignment horizontal="center" shrinkToFit="0" vertical="top" wrapText="1"/>
    </xf>
    <xf borderId="1" fillId="4" fontId="6" numFmtId="0" xfId="0" applyAlignment="1" applyBorder="1" applyFill="1" applyFont="1">
      <alignment horizontal="center" shrinkToFit="0" vertical="top" wrapText="1"/>
    </xf>
    <xf borderId="1" fillId="5" fontId="6" numFmtId="0" xfId="0" applyAlignment="1" applyBorder="1" applyFill="1" applyFont="1">
      <alignment horizontal="center" shrinkToFit="0" vertical="top" wrapText="1"/>
    </xf>
    <xf borderId="3" fillId="0" fontId="7" numFmtId="0" xfId="0" applyBorder="1" applyFont="1"/>
    <xf borderId="4" fillId="0" fontId="7" numFmtId="0" xfId="0" applyBorder="1" applyFont="1"/>
    <xf borderId="1" fillId="2" fontId="8" numFmtId="166" xfId="0" applyAlignment="1" applyBorder="1" applyFont="1" applyNumberFormat="1">
      <alignment horizontal="center" shrinkToFit="0" vertical="center" wrapText="0"/>
    </xf>
    <xf borderId="1" fillId="3" fontId="8" numFmtId="1" xfId="0" applyAlignment="1" applyBorder="1" applyFont="1" applyNumberFormat="1">
      <alignment horizontal="center" shrinkToFit="0" vertical="center" wrapText="0"/>
    </xf>
    <xf borderId="1" fillId="4" fontId="8" numFmtId="3" xfId="0" applyAlignment="1" applyBorder="1" applyFont="1" applyNumberFormat="1">
      <alignment horizontal="center" shrinkToFit="0" vertical="center" wrapText="0"/>
    </xf>
    <xf borderId="1" fillId="5" fontId="8" numFmtId="165" xfId="0" applyAlignment="1" applyBorder="1" applyFont="1" applyNumberFormat="1">
      <alignment horizontal="center" shrinkToFit="0" vertical="center" wrapText="0"/>
    </xf>
    <xf borderId="0" fillId="0" fontId="9" numFmtId="0" xfId="0" applyAlignment="1" applyFont="1">
      <alignment shrinkToFit="0" vertical="bottom" wrapText="0"/>
    </xf>
    <xf borderId="5" fillId="6" fontId="10" numFmtId="0" xfId="0" applyAlignment="1" applyBorder="1" applyFill="1" applyFont="1">
      <alignment horizontal="center" shrinkToFit="0" vertical="bottom" wrapText="0"/>
    </xf>
    <xf borderId="6" fillId="0" fontId="3" numFmtId="0" xfId="0" applyAlignment="1" applyBorder="1" applyFont="1">
      <alignment shrinkToFit="0" vertical="bottom" wrapText="0"/>
    </xf>
    <xf borderId="6" fillId="0" fontId="3" numFmtId="166" xfId="0" applyAlignment="1" applyBorder="1" applyFont="1" applyNumberFormat="1">
      <alignment shrinkToFit="0" vertical="bottom" wrapText="0"/>
    </xf>
    <xf borderId="6" fillId="0" fontId="3" numFmtId="167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chartsheet" Target="chartsheets/sheet4.xml"/><Relationship Id="rId9" Type="http://schemas.openxmlformats.org/officeDocument/2006/relationships/chartsheet" Target="chartsheets/sheet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chartsheet" Target="chartsheets/sheet1.xml"/><Relationship Id="rId8" Type="http://schemas.openxmlformats.org/officeDocument/2006/relationships/chartsheet" Target="chart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Weekly Sales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Total Sales</c:v>
          </c:tx>
          <c:spPr>
            <a:ln cmpd="sng" w="38100">
              <a:solidFill>
                <a:srgbClr val="BE4B48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BE4B48">
                  <a:alpha val="100000"/>
                </a:srgbClr>
              </a:solidFill>
              <a:ln cmpd="sng">
                <a:solidFill>
                  <a:srgbClr val="BE4B48">
                    <a:alpha val="100000"/>
                  </a:srgbClr>
                </a:solidFill>
              </a:ln>
            </c:spPr>
          </c:marker>
          <c:cat>
            <c:strRef>
              <c:f>Dashboard!$B$25:$B$33</c:f>
            </c:strRef>
          </c:cat>
          <c:val>
            <c:numRef>
              <c:f>Dashboard!$C$25:$C$33</c:f>
              <c:numCache/>
            </c:numRef>
          </c:val>
          <c:smooth val="0"/>
        </c:ser>
        <c:axId val="867019469"/>
        <c:axId val="2058275550"/>
      </c:lineChart>
      <c:catAx>
        <c:axId val="8670194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58275550"/>
      </c:catAx>
      <c:valAx>
        <c:axId val="20582755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Total Sales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6701946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Sales by Product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Total Sales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Dashboard!$H$12:$H$20</c:f>
            </c:strRef>
          </c:cat>
          <c:val>
            <c:numRef>
              <c:f>Dashboard!$I$12:$I$20</c:f>
              <c:numCache/>
            </c:numRef>
          </c:val>
        </c:ser>
        <c:axId val="865545035"/>
        <c:axId val="1900572316"/>
      </c:barChart>
      <c:catAx>
        <c:axId val="8655450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00572316"/>
      </c:catAx>
      <c:valAx>
        <c:axId val="19005723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65545035"/>
        <c:crosses val="max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 Sales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Dashboard!$E$12:$E$15</c:f>
            </c:strRef>
          </c:cat>
          <c:val>
            <c:numRef>
              <c:f>Dashboard!$F$12:$F$15</c:f>
              <c:numCache/>
            </c:numRef>
          </c:val>
        </c:ser>
        <c:axId val="1904178388"/>
        <c:axId val="1563927804"/>
      </c:barChart>
      <c:catAx>
        <c:axId val="19041783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63927804"/>
      </c:catAx>
      <c:valAx>
        <c:axId val="15639278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Total Sales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04178388"/>
      </c:valAx>
    </c:plotArea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Dashboard!$C$11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Dashboard!$B$12:$B$14</c:f>
            </c:strRef>
          </c:cat>
          <c:val>
            <c:numRef>
              <c:f>Dashboard!$C$12:$C$14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55" displayName="Table1" name="Table1" id="1">
  <tableColumns count="9">
    <tableColumn name="OrderID" id="1"/>
    <tableColumn name="Date" id="2"/>
    <tableColumn name="CustomerName" id="3"/>
    <tableColumn name="Product" id="4"/>
    <tableColumn name="Category" id="5"/>
    <tableColumn name="Region" id="6"/>
    <tableColumn name="Quantity" id="7"/>
    <tableColumn name="Price" id="8"/>
    <tableColumn name="TotalSales" id="9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86"/>
    <col customWidth="1" min="2" max="2" width="14.57"/>
    <col customWidth="1" min="3" max="3" width="21.71"/>
    <col customWidth="1" min="4" max="4" width="17.86"/>
    <col customWidth="1" min="5" max="5" width="20.71"/>
    <col customWidth="1" min="6" max="6" width="17.14"/>
    <col customWidth="1" min="7" max="7" width="18.43"/>
    <col customWidth="1" min="8" max="8" width="15.14"/>
    <col customWidth="1" min="9" max="9" width="20.29"/>
    <col customWidth="1" min="10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1001.0</v>
      </c>
      <c r="B2" s="3">
        <v>46023.0</v>
      </c>
      <c r="C2" s="4" t="s">
        <v>9</v>
      </c>
      <c r="D2" s="5" t="s">
        <v>10</v>
      </c>
      <c r="E2" s="6" t="s">
        <v>11</v>
      </c>
      <c r="F2" s="6" t="s">
        <v>12</v>
      </c>
      <c r="G2" s="7">
        <v>1.0</v>
      </c>
      <c r="H2" s="8">
        <v>1200.0</v>
      </c>
      <c r="I2" s="8">
        <v>1200.0</v>
      </c>
    </row>
    <row r="3" ht="22.5" customHeight="1">
      <c r="A3" s="2">
        <v>1002.0</v>
      </c>
      <c r="B3" s="3">
        <v>46024.0</v>
      </c>
      <c r="C3" s="4" t="s">
        <v>13</v>
      </c>
      <c r="D3" s="6" t="s">
        <v>14</v>
      </c>
      <c r="E3" s="6" t="s">
        <v>15</v>
      </c>
      <c r="F3" s="6" t="s">
        <v>16</v>
      </c>
      <c r="G3" s="7">
        <v>2.0</v>
      </c>
      <c r="H3" s="8">
        <v>25.0</v>
      </c>
      <c r="I3" s="8">
        <v>50.0</v>
      </c>
    </row>
    <row r="4" ht="22.5" customHeight="1">
      <c r="A4" s="2">
        <v>1003.0</v>
      </c>
      <c r="B4" s="3">
        <v>46024.0</v>
      </c>
      <c r="C4" s="4" t="s">
        <v>17</v>
      </c>
      <c r="D4" s="6" t="s">
        <v>10</v>
      </c>
      <c r="E4" s="6" t="s">
        <v>11</v>
      </c>
      <c r="F4" s="6" t="s">
        <v>18</v>
      </c>
      <c r="G4" s="7">
        <v>1.0</v>
      </c>
      <c r="H4" s="8">
        <v>1200.0</v>
      </c>
      <c r="I4" s="8">
        <v>1200.0</v>
      </c>
    </row>
    <row r="5" ht="22.5" customHeight="1">
      <c r="A5" s="2">
        <v>1004.0</v>
      </c>
      <c r="B5" s="3">
        <v>46025.0</v>
      </c>
      <c r="C5" s="4" t="s">
        <v>9</v>
      </c>
      <c r="D5" s="6" t="s">
        <v>19</v>
      </c>
      <c r="E5" s="6" t="s">
        <v>15</v>
      </c>
      <c r="F5" s="6" t="s">
        <v>12</v>
      </c>
      <c r="G5" s="7">
        <v>1.0</v>
      </c>
      <c r="H5" s="8">
        <v>50.0</v>
      </c>
      <c r="I5" s="8">
        <v>50.0</v>
      </c>
    </row>
    <row r="6" ht="22.5" customHeight="1">
      <c r="A6" s="2">
        <v>1005.0</v>
      </c>
      <c r="B6" s="3">
        <v>46026.0</v>
      </c>
      <c r="C6" s="4" t="s">
        <v>20</v>
      </c>
      <c r="D6" s="6" t="s">
        <v>21</v>
      </c>
      <c r="E6" s="6" t="s">
        <v>11</v>
      </c>
      <c r="F6" s="6" t="s">
        <v>22</v>
      </c>
      <c r="G6" s="7">
        <v>3.0</v>
      </c>
      <c r="H6" s="8">
        <v>100.0</v>
      </c>
      <c r="I6" s="8">
        <v>300.0</v>
      </c>
    </row>
    <row r="7" ht="22.5" customHeight="1">
      <c r="A7" s="2">
        <v>1007.0</v>
      </c>
      <c r="B7" s="3">
        <v>46028.0</v>
      </c>
      <c r="C7" s="4" t="s">
        <v>23</v>
      </c>
      <c r="D7" s="6" t="s">
        <v>24</v>
      </c>
      <c r="E7" s="6" t="s">
        <v>15</v>
      </c>
      <c r="F7" s="6" t="s">
        <v>18</v>
      </c>
      <c r="G7" s="7">
        <v>2.0</v>
      </c>
      <c r="H7" s="8">
        <v>60.0</v>
      </c>
      <c r="I7" s="8">
        <v>120.0</v>
      </c>
    </row>
    <row r="8" ht="22.5" customHeight="1">
      <c r="A8" s="2">
        <v>1008.0</v>
      </c>
      <c r="B8" s="3">
        <v>46028.0</v>
      </c>
      <c r="C8" s="4" t="s">
        <v>25</v>
      </c>
      <c r="D8" s="6" t="s">
        <v>26</v>
      </c>
      <c r="E8" s="6" t="s">
        <v>11</v>
      </c>
      <c r="F8" s="6" t="s">
        <v>12</v>
      </c>
      <c r="G8" s="7">
        <v>1.0</v>
      </c>
      <c r="H8" s="8">
        <v>800.0</v>
      </c>
      <c r="I8" s="8">
        <v>800.0</v>
      </c>
    </row>
    <row r="9" ht="22.5" customHeight="1">
      <c r="A9" s="2">
        <v>1009.0</v>
      </c>
      <c r="B9" s="3">
        <v>46029.0</v>
      </c>
      <c r="C9" s="4" t="s">
        <v>27</v>
      </c>
      <c r="D9" s="6" t="s">
        <v>28</v>
      </c>
      <c r="E9" s="6" t="s">
        <v>15</v>
      </c>
      <c r="F9" s="6" t="s">
        <v>16</v>
      </c>
      <c r="G9" s="7">
        <v>5.0</v>
      </c>
      <c r="H9" s="8">
        <v>10.0</v>
      </c>
      <c r="I9" s="8">
        <v>50.0</v>
      </c>
    </row>
    <row r="10" ht="22.5" customHeight="1">
      <c r="A10" s="2">
        <v>1010.0</v>
      </c>
      <c r="B10" s="3">
        <v>46030.0</v>
      </c>
      <c r="C10" s="4" t="s">
        <v>29</v>
      </c>
      <c r="D10" s="6" t="s">
        <v>30</v>
      </c>
      <c r="E10" s="6" t="s">
        <v>31</v>
      </c>
      <c r="F10" s="6" t="s">
        <v>18</v>
      </c>
      <c r="G10" s="7">
        <v>1.0</v>
      </c>
      <c r="H10" s="8">
        <v>45.0</v>
      </c>
      <c r="I10" s="8">
        <v>45.0</v>
      </c>
    </row>
    <row r="11" ht="22.5" customHeight="1">
      <c r="A11" s="2">
        <v>1011.0</v>
      </c>
      <c r="B11" s="3">
        <v>46031.0</v>
      </c>
      <c r="C11" s="4" t="s">
        <v>32</v>
      </c>
      <c r="D11" s="6" t="s">
        <v>33</v>
      </c>
      <c r="E11" s="6" t="s">
        <v>31</v>
      </c>
      <c r="F11" s="6" t="s">
        <v>22</v>
      </c>
      <c r="G11" s="7">
        <v>1.0</v>
      </c>
      <c r="H11" s="8">
        <v>150.0</v>
      </c>
      <c r="I11" s="8">
        <v>150.0</v>
      </c>
    </row>
    <row r="12" ht="22.5" customHeight="1">
      <c r="A12" s="2">
        <v>1012.0</v>
      </c>
      <c r="B12" s="3">
        <v>46031.0</v>
      </c>
      <c r="C12" s="4" t="s">
        <v>34</v>
      </c>
      <c r="D12" s="6" t="s">
        <v>14</v>
      </c>
      <c r="E12" s="6" t="s">
        <v>15</v>
      </c>
      <c r="F12" s="6" t="s">
        <v>12</v>
      </c>
      <c r="G12" s="7">
        <v>3.0</v>
      </c>
      <c r="H12" s="8">
        <v>25.0</v>
      </c>
      <c r="I12" s="8">
        <v>75.0</v>
      </c>
    </row>
    <row r="13" ht="22.5" customHeight="1">
      <c r="A13" s="2">
        <v>1013.0</v>
      </c>
      <c r="B13" s="3">
        <v>46033.0</v>
      </c>
      <c r="C13" s="4" t="s">
        <v>35</v>
      </c>
      <c r="D13" s="6" t="s">
        <v>10</v>
      </c>
      <c r="E13" s="6" t="s">
        <v>11</v>
      </c>
      <c r="F13" s="6" t="s">
        <v>16</v>
      </c>
      <c r="G13" s="7">
        <v>1.0</v>
      </c>
      <c r="H13" s="8">
        <v>1200.0</v>
      </c>
      <c r="I13" s="8">
        <v>1200.0</v>
      </c>
    </row>
    <row r="14" ht="22.5" customHeight="1">
      <c r="A14" s="2">
        <v>1014.0</v>
      </c>
      <c r="B14" s="3">
        <v>46034.0</v>
      </c>
      <c r="C14" s="4" t="s">
        <v>36</v>
      </c>
      <c r="D14" s="6" t="s">
        <v>19</v>
      </c>
      <c r="E14" s="6" t="s">
        <v>15</v>
      </c>
      <c r="F14" s="6" t="s">
        <v>18</v>
      </c>
      <c r="G14" s="7">
        <v>1.0</v>
      </c>
      <c r="H14" s="8">
        <v>50.0</v>
      </c>
      <c r="I14" s="8">
        <v>50.0</v>
      </c>
    </row>
    <row r="15" ht="22.5" customHeight="1">
      <c r="A15" s="2">
        <v>1015.0</v>
      </c>
      <c r="B15" s="3">
        <v>46035.0</v>
      </c>
      <c r="C15" s="4" t="s">
        <v>37</v>
      </c>
      <c r="D15" s="6" t="s">
        <v>21</v>
      </c>
      <c r="E15" s="6" t="s">
        <v>11</v>
      </c>
      <c r="F15" s="6" t="s">
        <v>22</v>
      </c>
      <c r="G15" s="7">
        <v>2.0</v>
      </c>
      <c r="H15" s="8">
        <v>100.0</v>
      </c>
      <c r="I15" s="8">
        <v>200.0</v>
      </c>
    </row>
    <row r="16" ht="22.5" customHeight="1">
      <c r="A16" s="2">
        <v>1016.0</v>
      </c>
      <c r="B16" s="3">
        <v>46036.0</v>
      </c>
      <c r="C16" s="4" t="s">
        <v>38</v>
      </c>
      <c r="D16" s="6" t="s">
        <v>24</v>
      </c>
      <c r="E16" s="6" t="s">
        <v>15</v>
      </c>
      <c r="F16" s="6" t="s">
        <v>12</v>
      </c>
      <c r="G16" s="7">
        <v>1.0</v>
      </c>
      <c r="H16" s="8">
        <v>60.0</v>
      </c>
      <c r="I16" s="8">
        <v>60.0</v>
      </c>
    </row>
    <row r="17" ht="22.5" customHeight="1">
      <c r="A17" s="2">
        <v>1017.0</v>
      </c>
      <c r="B17" s="3">
        <v>46037.0</v>
      </c>
      <c r="C17" s="4" t="s">
        <v>39</v>
      </c>
      <c r="D17" s="6" t="s">
        <v>26</v>
      </c>
      <c r="E17" s="6" t="s">
        <v>11</v>
      </c>
      <c r="F17" s="6" t="s">
        <v>16</v>
      </c>
      <c r="G17" s="7">
        <v>1.0</v>
      </c>
      <c r="H17" s="8">
        <v>800.0</v>
      </c>
      <c r="I17" s="8">
        <v>800.0</v>
      </c>
    </row>
    <row r="18" ht="22.5" customHeight="1">
      <c r="A18" s="2">
        <v>1018.0</v>
      </c>
      <c r="B18" s="3">
        <v>46038.0</v>
      </c>
      <c r="C18" s="4" t="s">
        <v>40</v>
      </c>
      <c r="D18" s="6" t="s">
        <v>28</v>
      </c>
      <c r="E18" s="6" t="s">
        <v>15</v>
      </c>
      <c r="F18" s="6" t="s">
        <v>18</v>
      </c>
      <c r="G18" s="7">
        <v>10.0</v>
      </c>
      <c r="H18" s="8">
        <v>10.0</v>
      </c>
      <c r="I18" s="8">
        <v>100.0</v>
      </c>
    </row>
    <row r="19" ht="22.5" customHeight="1">
      <c r="A19" s="2">
        <v>1019.0</v>
      </c>
      <c r="B19" s="3">
        <v>46039.0</v>
      </c>
      <c r="C19" s="4" t="s">
        <v>41</v>
      </c>
      <c r="D19" s="6" t="s">
        <v>30</v>
      </c>
      <c r="E19" s="6" t="s">
        <v>31</v>
      </c>
      <c r="F19" s="6" t="s">
        <v>22</v>
      </c>
      <c r="G19" s="7">
        <v>2.0</v>
      </c>
      <c r="H19" s="8">
        <v>45.0</v>
      </c>
      <c r="I19" s="8">
        <v>90.0</v>
      </c>
    </row>
    <row r="20" ht="22.5" customHeight="1">
      <c r="A20" s="2">
        <v>1021.0</v>
      </c>
      <c r="B20" s="3">
        <v>46041.0</v>
      </c>
      <c r="C20" s="4" t="s">
        <v>42</v>
      </c>
      <c r="D20" s="6" t="s">
        <v>14</v>
      </c>
      <c r="E20" s="6" t="s">
        <v>15</v>
      </c>
      <c r="F20" s="6" t="s">
        <v>16</v>
      </c>
      <c r="G20" s="7">
        <v>4.0</v>
      </c>
      <c r="H20" s="8">
        <v>25.0</v>
      </c>
      <c r="I20" s="8">
        <v>100.0</v>
      </c>
    </row>
    <row r="21" ht="15.75" customHeight="1">
      <c r="A21" s="2">
        <v>1022.0</v>
      </c>
      <c r="B21" s="3">
        <v>46042.0</v>
      </c>
      <c r="C21" s="4" t="s">
        <v>43</v>
      </c>
      <c r="D21" s="6" t="s">
        <v>10</v>
      </c>
      <c r="E21" s="6" t="s">
        <v>11</v>
      </c>
      <c r="F21" s="6" t="s">
        <v>18</v>
      </c>
      <c r="G21" s="7">
        <v>1.0</v>
      </c>
      <c r="H21" s="8">
        <v>1200.0</v>
      </c>
      <c r="I21" s="8">
        <v>1200.0</v>
      </c>
    </row>
    <row r="22" ht="15.75" customHeight="1">
      <c r="A22" s="2">
        <v>1023.0</v>
      </c>
      <c r="B22" s="3">
        <v>46043.0</v>
      </c>
      <c r="C22" s="4" t="s">
        <v>44</v>
      </c>
      <c r="D22" s="6" t="s">
        <v>19</v>
      </c>
      <c r="E22" s="6" t="s">
        <v>15</v>
      </c>
      <c r="F22" s="6" t="s">
        <v>22</v>
      </c>
      <c r="G22" s="7">
        <v>1.0</v>
      </c>
      <c r="H22" s="8">
        <v>50.0</v>
      </c>
      <c r="I22" s="8">
        <v>50.0</v>
      </c>
    </row>
    <row r="23" ht="15.75" customHeight="1">
      <c r="A23" s="2">
        <v>1024.0</v>
      </c>
      <c r="B23" s="3">
        <v>46044.0</v>
      </c>
      <c r="C23" s="4" t="s">
        <v>45</v>
      </c>
      <c r="D23" s="6" t="s">
        <v>21</v>
      </c>
      <c r="E23" s="6" t="s">
        <v>11</v>
      </c>
      <c r="F23" s="6" t="s">
        <v>12</v>
      </c>
      <c r="G23" s="7">
        <v>2.0</v>
      </c>
      <c r="H23" s="8">
        <v>100.0</v>
      </c>
      <c r="I23" s="8">
        <v>200.0</v>
      </c>
    </row>
    <row r="24" ht="15.75" customHeight="1">
      <c r="A24" s="2">
        <v>1025.0</v>
      </c>
      <c r="B24" s="3">
        <v>46045.0</v>
      </c>
      <c r="C24" s="4" t="s">
        <v>46</v>
      </c>
      <c r="D24" s="6" t="s">
        <v>24</v>
      </c>
      <c r="E24" s="6" t="s">
        <v>15</v>
      </c>
      <c r="F24" s="6" t="s">
        <v>16</v>
      </c>
      <c r="G24" s="7">
        <v>2.0</v>
      </c>
      <c r="H24" s="8">
        <v>60.0</v>
      </c>
      <c r="I24" s="8">
        <v>120.0</v>
      </c>
    </row>
    <row r="25" ht="15.75" customHeight="1">
      <c r="A25" s="2">
        <v>1026.0</v>
      </c>
      <c r="B25" s="3">
        <v>46046.0</v>
      </c>
      <c r="C25" s="4" t="s">
        <v>47</v>
      </c>
      <c r="D25" s="6" t="s">
        <v>26</v>
      </c>
      <c r="E25" s="6" t="s">
        <v>11</v>
      </c>
      <c r="F25" s="6" t="s">
        <v>18</v>
      </c>
      <c r="G25" s="7">
        <v>1.0</v>
      </c>
      <c r="H25" s="8">
        <v>800.0</v>
      </c>
      <c r="I25" s="8">
        <v>800.0</v>
      </c>
    </row>
    <row r="26" ht="15.75" customHeight="1">
      <c r="A26" s="2">
        <v>1027.0</v>
      </c>
      <c r="B26" s="3">
        <v>46047.0</v>
      </c>
      <c r="C26" s="4" t="s">
        <v>48</v>
      </c>
      <c r="D26" s="6" t="s">
        <v>28</v>
      </c>
      <c r="E26" s="6" t="s">
        <v>15</v>
      </c>
      <c r="F26" s="6" t="s">
        <v>22</v>
      </c>
      <c r="G26" s="7">
        <v>3.0</v>
      </c>
      <c r="H26" s="8">
        <v>10.0</v>
      </c>
      <c r="I26" s="8">
        <v>30.0</v>
      </c>
    </row>
    <row r="27" ht="15.75" customHeight="1">
      <c r="A27" s="2">
        <v>1028.0</v>
      </c>
      <c r="B27" s="3">
        <v>46047.0</v>
      </c>
      <c r="C27" s="4" t="s">
        <v>9</v>
      </c>
      <c r="D27" s="6" t="s">
        <v>30</v>
      </c>
      <c r="E27" s="6" t="s">
        <v>31</v>
      </c>
      <c r="F27" s="6" t="s">
        <v>12</v>
      </c>
      <c r="G27" s="7">
        <v>1.0</v>
      </c>
      <c r="H27" s="8">
        <v>45.0</v>
      </c>
      <c r="I27" s="8">
        <v>45.0</v>
      </c>
    </row>
    <row r="28" ht="15.75" customHeight="1">
      <c r="A28" s="2">
        <v>1029.0</v>
      </c>
      <c r="B28" s="3">
        <v>46049.0</v>
      </c>
      <c r="C28" s="4" t="s">
        <v>13</v>
      </c>
      <c r="D28" s="6" t="s">
        <v>33</v>
      </c>
      <c r="E28" s="6" t="s">
        <v>31</v>
      </c>
      <c r="F28" s="6" t="s">
        <v>16</v>
      </c>
      <c r="G28" s="7">
        <v>2.0</v>
      </c>
      <c r="H28" s="8">
        <v>150.0</v>
      </c>
      <c r="I28" s="8">
        <v>300.0</v>
      </c>
    </row>
    <row r="29" ht="15.75" customHeight="1">
      <c r="A29" s="2">
        <v>1030.0</v>
      </c>
      <c r="B29" s="3">
        <v>46050.0</v>
      </c>
      <c r="C29" s="4" t="s">
        <v>17</v>
      </c>
      <c r="D29" s="6" t="s">
        <v>14</v>
      </c>
      <c r="E29" s="6" t="s">
        <v>15</v>
      </c>
      <c r="F29" s="6" t="s">
        <v>18</v>
      </c>
      <c r="G29" s="7">
        <v>2.0</v>
      </c>
      <c r="H29" s="8">
        <v>25.0</v>
      </c>
      <c r="I29" s="8">
        <v>50.0</v>
      </c>
    </row>
    <row r="30" ht="15.75" customHeight="1">
      <c r="A30" s="2">
        <v>1031.0</v>
      </c>
      <c r="B30" s="3">
        <v>46051.0</v>
      </c>
      <c r="C30" s="4" t="s">
        <v>20</v>
      </c>
      <c r="D30" s="6" t="s">
        <v>10</v>
      </c>
      <c r="E30" s="6" t="s">
        <v>11</v>
      </c>
      <c r="F30" s="6" t="s">
        <v>22</v>
      </c>
      <c r="G30" s="7">
        <v>1.0</v>
      </c>
      <c r="H30" s="8">
        <v>1200.0</v>
      </c>
      <c r="I30" s="8">
        <v>1200.0</v>
      </c>
    </row>
    <row r="31" ht="15.75" customHeight="1">
      <c r="A31" s="2">
        <v>1032.0</v>
      </c>
      <c r="B31" s="3">
        <v>46052.0</v>
      </c>
      <c r="C31" s="4" t="s">
        <v>49</v>
      </c>
      <c r="D31" s="6" t="s">
        <v>19</v>
      </c>
      <c r="E31" s="6" t="s">
        <v>15</v>
      </c>
      <c r="F31" s="6" t="s">
        <v>12</v>
      </c>
      <c r="G31" s="7">
        <v>3.0</v>
      </c>
      <c r="H31" s="8">
        <v>50.0</v>
      </c>
      <c r="I31" s="8">
        <v>150.0</v>
      </c>
    </row>
    <row r="32" ht="15.75" customHeight="1">
      <c r="A32" s="2">
        <v>1033.0</v>
      </c>
      <c r="B32" s="3">
        <v>46053.0</v>
      </c>
      <c r="C32" s="4" t="s">
        <v>23</v>
      </c>
      <c r="D32" s="6" t="s">
        <v>21</v>
      </c>
      <c r="E32" s="6" t="s">
        <v>11</v>
      </c>
      <c r="F32" s="6" t="s">
        <v>16</v>
      </c>
      <c r="G32" s="7">
        <v>1.0</v>
      </c>
      <c r="H32" s="8">
        <v>100.0</v>
      </c>
      <c r="I32" s="8">
        <v>100.0</v>
      </c>
    </row>
    <row r="33" ht="15.75" customHeight="1">
      <c r="A33" s="2">
        <v>1034.0</v>
      </c>
      <c r="B33" s="3">
        <v>46054.0</v>
      </c>
      <c r="C33" s="4" t="s">
        <v>25</v>
      </c>
      <c r="D33" s="6" t="s">
        <v>24</v>
      </c>
      <c r="E33" s="6" t="s">
        <v>15</v>
      </c>
      <c r="F33" s="6" t="s">
        <v>18</v>
      </c>
      <c r="G33" s="7">
        <v>1.0</v>
      </c>
      <c r="H33" s="8">
        <v>60.0</v>
      </c>
      <c r="I33" s="8">
        <v>60.0</v>
      </c>
    </row>
    <row r="34" ht="15.75" customHeight="1">
      <c r="A34" s="2">
        <v>1035.0</v>
      </c>
      <c r="B34" s="3">
        <v>46055.0</v>
      </c>
      <c r="C34" s="4" t="s">
        <v>27</v>
      </c>
      <c r="D34" s="6" t="s">
        <v>26</v>
      </c>
      <c r="E34" s="6" t="s">
        <v>11</v>
      </c>
      <c r="F34" s="6" t="s">
        <v>22</v>
      </c>
      <c r="G34" s="7">
        <v>2.0</v>
      </c>
      <c r="H34" s="8">
        <v>800.0</v>
      </c>
      <c r="I34" s="8">
        <v>1600.0</v>
      </c>
    </row>
    <row r="35" ht="15.75" customHeight="1">
      <c r="A35" s="2">
        <v>1036.0</v>
      </c>
      <c r="B35" s="3">
        <v>46056.0</v>
      </c>
      <c r="C35" s="4" t="s">
        <v>29</v>
      </c>
      <c r="D35" s="6" t="s">
        <v>28</v>
      </c>
      <c r="E35" s="6" t="s">
        <v>15</v>
      </c>
      <c r="F35" s="6" t="s">
        <v>12</v>
      </c>
      <c r="G35" s="7">
        <v>6.0</v>
      </c>
      <c r="H35" s="8">
        <v>10.0</v>
      </c>
      <c r="I35" s="8">
        <v>60.0</v>
      </c>
    </row>
    <row r="36" ht="15.75" customHeight="1">
      <c r="A36" s="2">
        <v>1037.0</v>
      </c>
      <c r="B36" s="3">
        <v>46057.0</v>
      </c>
      <c r="C36" s="4" t="s">
        <v>32</v>
      </c>
      <c r="D36" s="6" t="s">
        <v>30</v>
      </c>
      <c r="E36" s="6" t="s">
        <v>31</v>
      </c>
      <c r="F36" s="6" t="s">
        <v>16</v>
      </c>
      <c r="G36" s="7">
        <v>1.0</v>
      </c>
      <c r="H36" s="8">
        <v>45.0</v>
      </c>
      <c r="I36" s="8">
        <v>45.0</v>
      </c>
    </row>
    <row r="37" ht="15.75" customHeight="1">
      <c r="A37" s="2">
        <v>1038.0</v>
      </c>
      <c r="B37" s="3">
        <v>46057.0</v>
      </c>
      <c r="C37" s="4" t="s">
        <v>34</v>
      </c>
      <c r="D37" s="6" t="s">
        <v>33</v>
      </c>
      <c r="E37" s="6" t="s">
        <v>31</v>
      </c>
      <c r="F37" s="6" t="s">
        <v>18</v>
      </c>
      <c r="G37" s="7">
        <v>1.0</v>
      </c>
      <c r="H37" s="8">
        <v>150.0</v>
      </c>
      <c r="I37" s="8">
        <v>150.0</v>
      </c>
    </row>
    <row r="38" ht="15.75" customHeight="1">
      <c r="A38" s="2">
        <v>1039.0</v>
      </c>
      <c r="B38" s="3">
        <v>46059.0</v>
      </c>
      <c r="C38" s="4" t="s">
        <v>35</v>
      </c>
      <c r="D38" s="6" t="s">
        <v>14</v>
      </c>
      <c r="E38" s="6" t="s">
        <v>15</v>
      </c>
      <c r="F38" s="6" t="s">
        <v>22</v>
      </c>
      <c r="G38" s="7">
        <v>2.0</v>
      </c>
      <c r="H38" s="8">
        <v>25.0</v>
      </c>
      <c r="I38" s="8">
        <v>50.0</v>
      </c>
    </row>
    <row r="39" ht="15.75" customHeight="1">
      <c r="A39" s="2">
        <v>1040.0</v>
      </c>
      <c r="B39" s="3">
        <v>46060.0</v>
      </c>
      <c r="C39" s="4" t="s">
        <v>36</v>
      </c>
      <c r="D39" s="6" t="s">
        <v>10</v>
      </c>
      <c r="E39" s="6" t="s">
        <v>11</v>
      </c>
      <c r="F39" s="6" t="s">
        <v>12</v>
      </c>
      <c r="G39" s="7">
        <v>1.0</v>
      </c>
      <c r="H39" s="8">
        <v>1200.0</v>
      </c>
      <c r="I39" s="8">
        <v>1200.0</v>
      </c>
    </row>
    <row r="40" ht="15.75" customHeight="1">
      <c r="A40" s="2">
        <v>1041.0</v>
      </c>
      <c r="B40" s="3">
        <v>46061.0</v>
      </c>
      <c r="C40" s="4" t="s">
        <v>37</v>
      </c>
      <c r="D40" s="6" t="s">
        <v>19</v>
      </c>
      <c r="E40" s="6" t="s">
        <v>15</v>
      </c>
      <c r="F40" s="6" t="s">
        <v>16</v>
      </c>
      <c r="G40" s="7">
        <v>1.0</v>
      </c>
      <c r="H40" s="8">
        <v>50.0</v>
      </c>
      <c r="I40" s="8">
        <v>50.0</v>
      </c>
    </row>
    <row r="41" ht="15.75" customHeight="1">
      <c r="A41" s="2">
        <v>1042.0</v>
      </c>
      <c r="B41" s="3">
        <v>46062.0</v>
      </c>
      <c r="C41" s="4" t="s">
        <v>38</v>
      </c>
      <c r="D41" s="6" t="s">
        <v>21</v>
      </c>
      <c r="E41" s="6" t="s">
        <v>11</v>
      </c>
      <c r="F41" s="6" t="s">
        <v>18</v>
      </c>
      <c r="G41" s="7">
        <v>1.0</v>
      </c>
      <c r="H41" s="8">
        <v>100.0</v>
      </c>
      <c r="I41" s="8">
        <v>100.0</v>
      </c>
    </row>
    <row r="42" ht="15.75" customHeight="1">
      <c r="A42" s="2">
        <v>1043.0</v>
      </c>
      <c r="B42" s="3">
        <v>46063.0</v>
      </c>
      <c r="C42" s="4" t="s">
        <v>39</v>
      </c>
      <c r="D42" s="6" t="s">
        <v>24</v>
      </c>
      <c r="E42" s="6" t="s">
        <v>15</v>
      </c>
      <c r="F42" s="6" t="s">
        <v>22</v>
      </c>
      <c r="G42" s="7">
        <v>3.0</v>
      </c>
      <c r="H42" s="8">
        <v>60.0</v>
      </c>
      <c r="I42" s="8">
        <v>180.0</v>
      </c>
    </row>
    <row r="43" ht="15.75" customHeight="1">
      <c r="A43" s="2">
        <v>1044.0</v>
      </c>
      <c r="B43" s="3">
        <v>46064.0</v>
      </c>
      <c r="C43" s="4" t="s">
        <v>40</v>
      </c>
      <c r="D43" s="6" t="s">
        <v>26</v>
      </c>
      <c r="E43" s="6" t="s">
        <v>11</v>
      </c>
      <c r="F43" s="6" t="s">
        <v>12</v>
      </c>
      <c r="G43" s="7">
        <v>1.0</v>
      </c>
      <c r="H43" s="8">
        <v>800.0</v>
      </c>
      <c r="I43" s="8">
        <v>800.0</v>
      </c>
    </row>
    <row r="44" ht="15.75" customHeight="1">
      <c r="A44" s="2">
        <v>1045.0</v>
      </c>
      <c r="B44" s="3">
        <v>46065.0</v>
      </c>
      <c r="C44" s="4" t="s">
        <v>41</v>
      </c>
      <c r="D44" s="6" t="s">
        <v>28</v>
      </c>
      <c r="E44" s="6" t="s">
        <v>15</v>
      </c>
      <c r="F44" s="6" t="s">
        <v>16</v>
      </c>
      <c r="G44" s="7">
        <v>8.0</v>
      </c>
      <c r="H44" s="8">
        <v>10.0</v>
      </c>
      <c r="I44" s="8">
        <v>80.0</v>
      </c>
    </row>
    <row r="45" ht="15.75" customHeight="1">
      <c r="A45" s="2">
        <v>1046.0</v>
      </c>
      <c r="B45" s="3">
        <v>46066.0</v>
      </c>
      <c r="C45" s="4" t="s">
        <v>50</v>
      </c>
      <c r="D45" s="6" t="s">
        <v>30</v>
      </c>
      <c r="E45" s="6" t="s">
        <v>31</v>
      </c>
      <c r="F45" s="6" t="s">
        <v>18</v>
      </c>
      <c r="G45" s="7">
        <v>2.0</v>
      </c>
      <c r="H45" s="8">
        <v>45.0</v>
      </c>
      <c r="I45" s="8">
        <v>90.0</v>
      </c>
    </row>
    <row r="46" ht="15.75" customHeight="1">
      <c r="A46" s="2">
        <v>1048.0</v>
      </c>
      <c r="B46" s="3">
        <v>46068.0</v>
      </c>
      <c r="C46" s="4" t="s">
        <v>43</v>
      </c>
      <c r="D46" s="6" t="s">
        <v>14</v>
      </c>
      <c r="E46" s="6" t="s">
        <v>15</v>
      </c>
      <c r="F46" s="6" t="s">
        <v>12</v>
      </c>
      <c r="G46" s="7">
        <v>2.0</v>
      </c>
      <c r="H46" s="8">
        <v>25.0</v>
      </c>
      <c r="I46" s="8">
        <v>50.0</v>
      </c>
    </row>
    <row r="47" ht="15.75" customHeight="1">
      <c r="A47" s="2">
        <v>1049.0</v>
      </c>
      <c r="B47" s="3">
        <v>46069.0</v>
      </c>
      <c r="C47" s="4" t="s">
        <v>44</v>
      </c>
      <c r="D47" s="6" t="s">
        <v>10</v>
      </c>
      <c r="E47" s="6" t="s">
        <v>11</v>
      </c>
      <c r="F47" s="6" t="s">
        <v>16</v>
      </c>
      <c r="G47" s="7">
        <v>1.0</v>
      </c>
      <c r="H47" s="8">
        <v>1200.0</v>
      </c>
      <c r="I47" s="8">
        <v>1200.0</v>
      </c>
    </row>
    <row r="48" ht="15.75" customHeight="1">
      <c r="A48" s="2">
        <v>1050.0</v>
      </c>
      <c r="B48" s="3">
        <v>46070.0</v>
      </c>
      <c r="C48" s="4" t="s">
        <v>45</v>
      </c>
      <c r="D48" s="6" t="s">
        <v>19</v>
      </c>
      <c r="E48" s="6" t="s">
        <v>15</v>
      </c>
      <c r="F48" s="6" t="s">
        <v>18</v>
      </c>
      <c r="G48" s="7">
        <v>1.0</v>
      </c>
      <c r="H48" s="8">
        <v>50.0</v>
      </c>
      <c r="I48" s="8">
        <v>50.0</v>
      </c>
    </row>
    <row r="49" ht="15.75" customHeight="1">
      <c r="A49" s="2">
        <v>1051.0</v>
      </c>
      <c r="B49" s="3">
        <v>46071.0</v>
      </c>
      <c r="C49" s="4" t="s">
        <v>46</v>
      </c>
      <c r="D49" s="6" t="s">
        <v>21</v>
      </c>
      <c r="E49" s="6" t="s">
        <v>11</v>
      </c>
      <c r="F49" s="6" t="s">
        <v>22</v>
      </c>
      <c r="G49" s="7">
        <v>2.0</v>
      </c>
      <c r="H49" s="8">
        <v>100.0</v>
      </c>
      <c r="I49" s="8">
        <v>200.0</v>
      </c>
    </row>
    <row r="50" ht="15.75" customHeight="1">
      <c r="A50" s="2">
        <v>1052.0</v>
      </c>
      <c r="B50" s="3">
        <v>46072.0</v>
      </c>
      <c r="C50" s="4" t="s">
        <v>47</v>
      </c>
      <c r="D50" s="6" t="s">
        <v>24</v>
      </c>
      <c r="E50" s="6" t="s">
        <v>15</v>
      </c>
      <c r="F50" s="6" t="s">
        <v>12</v>
      </c>
      <c r="G50" s="7">
        <v>1.0</v>
      </c>
      <c r="H50" s="8">
        <v>60.0</v>
      </c>
      <c r="I50" s="8">
        <v>60.0</v>
      </c>
    </row>
    <row r="51" ht="15.75" customHeight="1">
      <c r="A51" s="2">
        <v>1053.0</v>
      </c>
      <c r="B51" s="3">
        <v>46073.0</v>
      </c>
      <c r="C51" s="4" t="s">
        <v>48</v>
      </c>
      <c r="D51" s="6" t="s">
        <v>26</v>
      </c>
      <c r="E51" s="6" t="s">
        <v>11</v>
      </c>
      <c r="F51" s="6" t="s">
        <v>16</v>
      </c>
      <c r="G51" s="7">
        <v>1.0</v>
      </c>
      <c r="H51" s="8">
        <v>800.0</v>
      </c>
      <c r="I51" s="8">
        <v>800.0</v>
      </c>
    </row>
    <row r="52" ht="15.75" customHeight="1">
      <c r="A52" s="2">
        <v>1054.0</v>
      </c>
      <c r="B52" s="3">
        <v>46073.0</v>
      </c>
      <c r="C52" s="4" t="s">
        <v>9</v>
      </c>
      <c r="D52" s="6" t="s">
        <v>28</v>
      </c>
      <c r="E52" s="6" t="s">
        <v>15</v>
      </c>
      <c r="F52" s="6" t="s">
        <v>18</v>
      </c>
      <c r="G52" s="7">
        <v>4.0</v>
      </c>
      <c r="H52" s="8">
        <v>10.0</v>
      </c>
      <c r="I52" s="8">
        <v>40.0</v>
      </c>
    </row>
    <row r="53" ht="15.75" customHeight="1">
      <c r="A53" s="2">
        <v>1055.0</v>
      </c>
      <c r="B53" s="3">
        <v>46075.0</v>
      </c>
      <c r="C53" s="4" t="s">
        <v>13</v>
      </c>
      <c r="D53" s="6" t="s">
        <v>30</v>
      </c>
      <c r="E53" s="6" t="s">
        <v>31</v>
      </c>
      <c r="F53" s="6" t="s">
        <v>22</v>
      </c>
      <c r="G53" s="7">
        <v>1.0</v>
      </c>
      <c r="H53" s="8">
        <v>45.0</v>
      </c>
      <c r="I53" s="8">
        <v>45.0</v>
      </c>
    </row>
    <row r="54" ht="15.75" customHeight="1">
      <c r="A54" s="2">
        <v>1056.0</v>
      </c>
      <c r="B54" s="3">
        <v>46076.0</v>
      </c>
      <c r="C54" s="4" t="s">
        <v>17</v>
      </c>
      <c r="D54" s="6" t="s">
        <v>33</v>
      </c>
      <c r="E54" s="6" t="s">
        <v>31</v>
      </c>
      <c r="F54" s="6" t="s">
        <v>12</v>
      </c>
      <c r="G54" s="7">
        <v>2.0</v>
      </c>
      <c r="H54" s="8">
        <v>150.0</v>
      </c>
      <c r="I54" s="8">
        <v>300.0</v>
      </c>
    </row>
    <row r="55" ht="15.75" customHeight="1">
      <c r="A55" s="2">
        <v>1057.0</v>
      </c>
      <c r="B55" s="3">
        <v>46077.0</v>
      </c>
      <c r="C55" s="4" t="s">
        <v>20</v>
      </c>
      <c r="D55" s="6" t="s">
        <v>14</v>
      </c>
      <c r="E55" s="6" t="s">
        <v>15</v>
      </c>
      <c r="F55" s="6" t="s">
        <v>16</v>
      </c>
      <c r="G55" s="7">
        <v>3.0</v>
      </c>
      <c r="H55" s="8">
        <v>25.0</v>
      </c>
      <c r="I55" s="8">
        <v>75.0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F2:F55">
      <formula1>"North,West,East,South"</formula1>
    </dataValidation>
    <dataValidation type="list" allowBlank="1" showDropDown="1" showErrorMessage="1" sqref="D2:D55">
      <formula1>"Laptop,Shirt,Shoes,Headphones,Jeans,TV,Socks,Backpack,Blender"</formula1>
    </dataValidation>
    <dataValidation type="list" allowBlank="1" showDropDown="1" showErrorMessage="1" sqref="E2:E55">
      <formula1>"Electronics,Clothing,Home &amp; Kitchen"</formula1>
    </dataValidation>
    <dataValidation type="custom" allowBlank="1" showDropDown="1" sqref="B2:B55">
      <formula1>OR(NOT(ISERROR(DATEVALUE(B2))), AND(ISNUMBER(B2), LEFT(CELL("format", B2))="D"))</formula1>
    </dataValidation>
    <dataValidation type="custom" allowBlank="1" showDropDown="1" sqref="A2:A55 G2:I55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12" width="14.0"/>
    <col customWidth="1" min="13" max="26" width="8.71"/>
  </cols>
  <sheetData>
    <row r="2">
      <c r="B2" s="9" t="s">
        <v>51</v>
      </c>
    </row>
    <row r="3">
      <c r="B3" s="10" t="s">
        <v>52</v>
      </c>
    </row>
    <row r="5" ht="15.0" customHeight="1">
      <c r="B5" s="11" t="s">
        <v>53</v>
      </c>
      <c r="C5" s="12"/>
      <c r="D5" s="13" t="s">
        <v>54</v>
      </c>
      <c r="E5" s="12"/>
      <c r="F5" s="14" t="s">
        <v>55</v>
      </c>
      <c r="G5" s="12"/>
      <c r="H5" s="15" t="s">
        <v>56</v>
      </c>
      <c r="I5" s="12"/>
    </row>
    <row r="6">
      <c r="B6" s="16"/>
      <c r="C6" s="17"/>
      <c r="D6" s="16"/>
      <c r="E6" s="17"/>
      <c r="F6" s="16"/>
      <c r="G6" s="17"/>
      <c r="H6" s="16"/>
      <c r="I6" s="17"/>
    </row>
    <row r="7">
      <c r="B7" s="18">
        <f>SUM(Data!I:I)</f>
        <v>18170</v>
      </c>
      <c r="C7" s="12"/>
      <c r="D7" s="19">
        <f>COUNTA(Data!A2:A1000)</f>
        <v>54</v>
      </c>
      <c r="E7" s="12"/>
      <c r="F7" s="20">
        <f>SUM(Data!G:G)</f>
        <v>111</v>
      </c>
      <c r="G7" s="12"/>
      <c r="H7" s="21">
        <f>SUM(Data!I:I)/COUNTA(Data!A2:A1000)</f>
        <v>336.4814815</v>
      </c>
      <c r="I7" s="12"/>
    </row>
    <row r="8">
      <c r="B8" s="16"/>
      <c r="C8" s="17"/>
      <c r="D8" s="16"/>
      <c r="E8" s="17"/>
      <c r="F8" s="16"/>
      <c r="G8" s="17"/>
      <c r="H8" s="16"/>
      <c r="I8" s="17"/>
    </row>
    <row r="10">
      <c r="B10" s="22" t="s">
        <v>57</v>
      </c>
      <c r="E10" s="22" t="s">
        <v>58</v>
      </c>
      <c r="H10" s="22" t="s">
        <v>59</v>
      </c>
    </row>
    <row r="11">
      <c r="B11" s="23" t="s">
        <v>4</v>
      </c>
      <c r="C11" s="23" t="s">
        <v>60</v>
      </c>
      <c r="E11" s="23" t="s">
        <v>5</v>
      </c>
      <c r="F11" s="23" t="s">
        <v>60</v>
      </c>
      <c r="H11" s="23" t="s">
        <v>3</v>
      </c>
      <c r="I11" s="23" t="s">
        <v>60</v>
      </c>
    </row>
    <row r="12">
      <c r="B12" s="24" t="s">
        <v>15</v>
      </c>
      <c r="C12" s="25">
        <f>SUMIFS(Data!$I:$I,Data!$E:$E,B12)</f>
        <v>1810</v>
      </c>
      <c r="E12" s="24" t="s">
        <v>18</v>
      </c>
      <c r="F12" s="25">
        <f>SUMIFS(Data!$I:$I,Data!$F:$F,E12)</f>
        <v>4055</v>
      </c>
      <c r="H12" s="24" t="s">
        <v>10</v>
      </c>
      <c r="I12" s="25">
        <f>SUMIFS(Data!$I:$I,Data!$D:$D,H12)</f>
        <v>8400</v>
      </c>
    </row>
    <row r="13">
      <c r="B13" s="24" t="s">
        <v>11</v>
      </c>
      <c r="C13" s="25">
        <f>SUMIFS(Data!$I:$I,Data!$E:$E,B13)</f>
        <v>15100</v>
      </c>
      <c r="E13" s="24" t="s">
        <v>12</v>
      </c>
      <c r="F13" s="25">
        <f>SUMIFS(Data!$I:$I,Data!$F:$F,E13)</f>
        <v>5050</v>
      </c>
      <c r="H13" s="24" t="s">
        <v>26</v>
      </c>
      <c r="I13" s="25">
        <f>SUMIFS(Data!$I:$I,Data!$D:$D,H13)</f>
        <v>5600</v>
      </c>
    </row>
    <row r="14">
      <c r="B14" s="24" t="s">
        <v>31</v>
      </c>
      <c r="C14" s="25">
        <f>SUMIFS(Data!$I:$I,Data!$E:$E,B14)</f>
        <v>1260</v>
      </c>
      <c r="E14" s="24" t="s">
        <v>22</v>
      </c>
      <c r="F14" s="25">
        <f>SUMIFS(Data!$I:$I,Data!$F:$F,E14)</f>
        <v>4095</v>
      </c>
      <c r="H14" s="24" t="s">
        <v>21</v>
      </c>
      <c r="I14" s="25">
        <f>SUMIFS(Data!$I:$I,Data!$D:$D,H14)</f>
        <v>1100</v>
      </c>
    </row>
    <row r="15">
      <c r="E15" s="24" t="s">
        <v>16</v>
      </c>
      <c r="F15" s="25">
        <f>SUMIFS(Data!$I:$I,Data!$F:$F,E15)</f>
        <v>4970</v>
      </c>
      <c r="H15" s="24" t="s">
        <v>33</v>
      </c>
      <c r="I15" s="25">
        <f>SUMIFS(Data!$I:$I,Data!$D:$D,H15)</f>
        <v>900</v>
      </c>
    </row>
    <row r="16">
      <c r="H16" s="24" t="s">
        <v>24</v>
      </c>
      <c r="I16" s="25">
        <f>SUMIFS(Data!$I:$I,Data!$D:$D,H16)</f>
        <v>600</v>
      </c>
    </row>
    <row r="17">
      <c r="H17" s="24" t="s">
        <v>14</v>
      </c>
      <c r="I17" s="25">
        <f>SUMIFS(Data!$I:$I,Data!$D:$D,H17)</f>
        <v>450</v>
      </c>
    </row>
    <row r="18">
      <c r="H18" s="24" t="s">
        <v>19</v>
      </c>
      <c r="I18" s="25">
        <f>SUMIFS(Data!$I:$I,Data!$D:$D,H18)</f>
        <v>400</v>
      </c>
    </row>
    <row r="19">
      <c r="H19" s="24" t="s">
        <v>30</v>
      </c>
      <c r="I19" s="25">
        <f>SUMIFS(Data!$I:$I,Data!$D:$D,H19)</f>
        <v>360</v>
      </c>
    </row>
    <row r="20">
      <c r="H20" s="24" t="s">
        <v>28</v>
      </c>
      <c r="I20" s="25">
        <f>SUMIFS(Data!$I:$I,Data!$D:$D,H20)</f>
        <v>360</v>
      </c>
    </row>
    <row r="21" ht="15.75" customHeight="1"/>
    <row r="22" ht="15.75" customHeight="1"/>
    <row r="23" ht="15.75" customHeight="1">
      <c r="B23" s="22" t="s">
        <v>61</v>
      </c>
    </row>
    <row r="24" ht="15.75" customHeight="1">
      <c r="B24" s="23" t="s">
        <v>62</v>
      </c>
      <c r="C24" s="23" t="s">
        <v>60</v>
      </c>
    </row>
    <row r="25" ht="15.75" customHeight="1">
      <c r="B25" s="26">
        <v>46020.0</v>
      </c>
      <c r="C25" s="25">
        <f>SUMIFS(Data!$I:$I,Data!$B:$B,"&gt;="&amp;B25,Data!$B:$B,"&lt;"&amp;(B25+7))</f>
        <v>2800</v>
      </c>
    </row>
    <row r="26" ht="15.75" customHeight="1">
      <c r="B26" s="26">
        <v>46027.0</v>
      </c>
      <c r="C26" s="25">
        <f>SUMIFS(Data!$I:$I,Data!$B:$B,"&gt;="&amp;B26,Data!$B:$B,"&lt;"&amp;(B26+7))</f>
        <v>2440</v>
      </c>
    </row>
    <row r="27" ht="15.75" customHeight="1">
      <c r="B27" s="26">
        <v>46034.0</v>
      </c>
      <c r="C27" s="25">
        <f>SUMIFS(Data!$I:$I,Data!$B:$B,"&gt;="&amp;B27,Data!$B:$B,"&lt;"&amp;(B27+7))</f>
        <v>1300</v>
      </c>
    </row>
    <row r="28" ht="15.75" customHeight="1">
      <c r="B28" s="26">
        <v>46041.0</v>
      </c>
      <c r="C28" s="25">
        <f>SUMIFS(Data!$I:$I,Data!$B:$B,"&gt;="&amp;B28,Data!$B:$B,"&lt;"&amp;(B28+7))</f>
        <v>2545</v>
      </c>
    </row>
    <row r="29" ht="15.75" customHeight="1">
      <c r="B29" s="26">
        <v>46048.0</v>
      </c>
      <c r="C29" s="25">
        <f>SUMIFS(Data!$I:$I,Data!$B:$B,"&gt;="&amp;B29,Data!$B:$B,"&lt;"&amp;(B29+7))</f>
        <v>1860</v>
      </c>
    </row>
    <row r="30" ht="15.75" customHeight="1">
      <c r="B30" s="26">
        <v>46055.0</v>
      </c>
      <c r="C30" s="25">
        <f>SUMIFS(Data!$I:$I,Data!$B:$B,"&gt;="&amp;B30,Data!$B:$B,"&lt;"&amp;(B30+7))</f>
        <v>3155</v>
      </c>
    </row>
    <row r="31" ht="15.75" customHeight="1">
      <c r="B31" s="26">
        <v>46062.0</v>
      </c>
      <c r="C31" s="25">
        <f>SUMIFS(Data!$I:$I,Data!$B:$B,"&gt;="&amp;B31,Data!$B:$B,"&lt;"&amp;(B31+7))</f>
        <v>1300</v>
      </c>
    </row>
    <row r="32" ht="15.75" customHeight="1">
      <c r="B32" s="26">
        <v>46069.0</v>
      </c>
      <c r="C32" s="25">
        <f>SUMIFS(Data!$I:$I,Data!$B:$B,"&gt;="&amp;B32,Data!$B:$B,"&lt;"&amp;(B32+7))</f>
        <v>2395</v>
      </c>
    </row>
    <row r="33" ht="15.75" customHeight="1">
      <c r="B33" s="26">
        <v>46076.0</v>
      </c>
      <c r="C33" s="25">
        <f>SUMIFS(Data!$I:$I,Data!$B:$B,"&gt;="&amp;B33,Data!$B:$B,"&lt;"&amp;(B33+7))</f>
        <v>375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D7:E8"/>
    <mergeCell ref="F7:G8"/>
    <mergeCell ref="B2:L2"/>
    <mergeCell ref="B3:L3"/>
    <mergeCell ref="B5:C6"/>
    <mergeCell ref="D5:E6"/>
    <mergeCell ref="F5:G6"/>
    <mergeCell ref="H5:I6"/>
    <mergeCell ref="B7:C8"/>
    <mergeCell ref="H7:I8"/>
  </mergeCells>
  <printOptions/>
  <pageMargins bottom="1.0" footer="0.0" header="0.0" left="0.75" right="0.75" top="1.0"/>
  <pageSetup paperSize="9" orientation="portrait"/>
  <drawing r:id="rId1"/>
</worksheet>
</file>